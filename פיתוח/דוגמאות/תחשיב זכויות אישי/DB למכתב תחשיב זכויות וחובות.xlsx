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usb\Documents\מכונת מכתבים\פיתוח\דוגמאות\תחשיב זכויות אישי\"/>
    </mc:Choice>
  </mc:AlternateContent>
  <xr:revisionPtr revIDLastSave="0" documentId="13_ncr:1_{C508B099-B1BF-4DEB-BD49-2E2BF2B5F3AF}" xr6:coauthVersionLast="47" xr6:coauthVersionMax="47" xr10:uidLastSave="{00000000-0000-0000-0000-000000000000}"/>
  <bookViews>
    <workbookView xWindow="1920" yWindow="972" windowWidth="17280" windowHeight="11988" xr2:uid="{230BCDDF-ECC3-443F-AB3B-8BCF8BF1817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M4" i="1"/>
  <c r="P4" i="1" s="1"/>
  <c r="M2" i="1"/>
  <c r="P2" i="1" s="1"/>
  <c r="J3" i="1"/>
  <c r="M3" i="1" s="1"/>
  <c r="P3" i="1" s="1"/>
  <c r="J4" i="1"/>
  <c r="J2" i="1"/>
</calcChain>
</file>

<file path=xl/sharedStrings.xml><?xml version="1.0" encoding="utf-8"?>
<sst xmlns="http://schemas.openxmlformats.org/spreadsheetml/2006/main" count="38" uniqueCount="35">
  <si>
    <t>סידורי</t>
  </si>
  <si>
    <t>תקציב אישי</t>
  </si>
  <si>
    <t>קוד חבר</t>
  </si>
  <si>
    <t>תע` זהות</t>
  </si>
  <si>
    <t>שם משפחה</t>
  </si>
  <si>
    <t>שם פרטי</t>
  </si>
  <si>
    <t>תאריך לידה</t>
  </si>
  <si>
    <t>ותק</t>
  </si>
  <si>
    <t>סכום קבוע</t>
  </si>
  <si>
    <t>סכום לפי וותק</t>
  </si>
  <si>
    <t>כמות זכאות לנפטר</t>
  </si>
  <si>
    <t>תוספת נפטרים</t>
  </si>
  <si>
    <t>סה"כ</t>
  </si>
  <si>
    <t>חודשים מענק עידוד עבודה</t>
  </si>
  <si>
    <t>חוב מענק עידוד עבודה</t>
  </si>
  <si>
    <t>סה" אחרי קיזוז</t>
  </si>
  <si>
    <t>בנית בית בשכונה</t>
  </si>
  <si>
    <t>מספר בית</t>
  </si>
  <si>
    <t>סטטוס</t>
  </si>
  <si>
    <t>גיל</t>
  </si>
  <si>
    <t>לתאריך</t>
  </si>
  <si>
    <t>ברקאי</t>
  </si>
  <si>
    <t>מירב</t>
  </si>
  <si>
    <t>שקמים</t>
  </si>
  <si>
    <t>חבר.ה</t>
  </si>
  <si>
    <t>אביטבול</t>
  </si>
  <si>
    <t>משה</t>
  </si>
  <si>
    <t>זהבה</t>
  </si>
  <si>
    <t>100</t>
  </si>
  <si>
    <t>101</t>
  </si>
  <si>
    <t>חשבון בנק</t>
  </si>
  <si>
    <t>12-34-5678</t>
  </si>
  <si>
    <t>11-22-333</t>
  </si>
  <si>
    <t>99-88-777</t>
  </si>
  <si>
    <t>נקלט.ת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</si>
</sst>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₪&quot;\ * #,##0_ ;_ &quot;₪&quot;\ * \-#,##0_ ;_ &quot;₪&quot;\ * &quot;-&quot;_ ;_ @_ "/>
  </numFmts>
  <fonts count="3" x14ac:knownFonts="1">
    <font>
      <sz val="11"/>
      <color theme="1"/>
      <name val="Aptos Narrow"/>
      <family val="2"/>
      <charset val="177"/>
      <scheme val="minor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2F08-3B1E-431C-8C86-62C9F3435FF1}">
  <dimension ref="A1:V4"/>
  <sheetViews>
    <sheetView rightToLeft="1" tabSelected="1" topLeftCell="J1" workbookViewId="0">
      <selection activeCell="T8" sqref="T8"/>
    </sheetView>
  </sheetViews>
  <sheetFormatPr defaultRowHeight="13.8" x14ac:dyDescent="0.25"/>
  <cols>
    <col min="2" max="2" width="10.296875" bestFit="1" customWidth="1"/>
    <col min="4" max="4" width="9.8984375" bestFit="1" customWidth="1"/>
    <col min="5" max="5" width="10.59765625" bestFit="1" customWidth="1"/>
    <col min="7" max="7" width="10.296875" bestFit="1" customWidth="1"/>
    <col min="9" max="9" width="10.3984375" bestFit="1" customWidth="1"/>
    <col min="10" max="10" width="12.09765625" bestFit="1" customWidth="1"/>
    <col min="12" max="12" width="10.3984375" bestFit="1" customWidth="1"/>
    <col min="13" max="13" width="11.5" bestFit="1" customWidth="1"/>
    <col min="16" max="16" width="10.3984375" bestFit="1" customWidth="1"/>
  </cols>
  <sheetData>
    <row r="1" spans="1:22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30</v>
      </c>
      <c r="T1" s="1" t="s">
        <v>18</v>
      </c>
      <c r="U1" s="6" t="s">
        <v>19</v>
      </c>
      <c r="V1" s="7" t="s">
        <v>20</v>
      </c>
    </row>
    <row r="2" spans="1:22" ht="15.6" x14ac:dyDescent="0.3">
      <c r="A2" s="8">
        <v>1</v>
      </c>
      <c r="B2" s="8" t="s">
        <v>28</v>
      </c>
      <c r="C2" s="9">
        <v>2002</v>
      </c>
      <c r="D2" s="10">
        <v>123456</v>
      </c>
      <c r="E2" s="10" t="s">
        <v>21</v>
      </c>
      <c r="F2" s="10" t="s">
        <v>22</v>
      </c>
      <c r="G2" s="11">
        <v>36161</v>
      </c>
      <c r="H2" s="9">
        <v>24.91</v>
      </c>
      <c r="I2" s="12">
        <v>90000</v>
      </c>
      <c r="J2" s="12">
        <f>H2*10</f>
        <v>249.1</v>
      </c>
      <c r="K2" s="8">
        <v>0</v>
      </c>
      <c r="L2" s="12">
        <v>0</v>
      </c>
      <c r="M2" s="12">
        <f>J2+I2</f>
        <v>90249.1</v>
      </c>
      <c r="N2" s="8">
        <v>8</v>
      </c>
      <c r="O2" s="8">
        <v>24000</v>
      </c>
      <c r="P2" s="12">
        <f>M2-O2</f>
        <v>66249.100000000006</v>
      </c>
      <c r="Q2" s="8" t="s">
        <v>23</v>
      </c>
      <c r="R2" s="8">
        <v>132</v>
      </c>
      <c r="S2" s="8" t="s">
        <v>31</v>
      </c>
      <c r="T2" s="8" t="s">
        <v>24</v>
      </c>
      <c r="U2" s="13">
        <v>40</v>
      </c>
      <c r="V2" s="14">
        <v>46131</v>
      </c>
    </row>
    <row r="3" spans="1:22" ht="15.6" x14ac:dyDescent="0.3">
      <c r="A3" s="8">
        <v>2</v>
      </c>
      <c r="B3" s="8" t="s">
        <v>29</v>
      </c>
      <c r="C3" s="9">
        <v>5671</v>
      </c>
      <c r="D3" s="10">
        <v>987654</v>
      </c>
      <c r="E3" s="10" t="s">
        <v>25</v>
      </c>
      <c r="F3" s="10" t="s">
        <v>26</v>
      </c>
      <c r="G3" s="11">
        <v>36161</v>
      </c>
      <c r="H3" s="9">
        <v>44</v>
      </c>
      <c r="I3" s="12">
        <v>90000</v>
      </c>
      <c r="J3" s="12">
        <f t="shared" ref="J3:J4" si="0">H3*10</f>
        <v>440</v>
      </c>
      <c r="K3" s="8">
        <v>1</v>
      </c>
      <c r="L3" s="12">
        <f>K3*I3</f>
        <v>90000</v>
      </c>
      <c r="M3" s="12">
        <f t="shared" ref="M3:M4" si="1">J3+I3</f>
        <v>90440</v>
      </c>
      <c r="N3" s="8"/>
      <c r="O3" s="8">
        <v>0</v>
      </c>
      <c r="P3" s="12">
        <f t="shared" ref="P3:P4" si="2">M3-O3</f>
        <v>90440</v>
      </c>
      <c r="Q3" s="8"/>
      <c r="R3" s="8"/>
      <c r="S3" s="8" t="s">
        <v>32</v>
      </c>
      <c r="T3" s="8" t="s">
        <v>24</v>
      </c>
      <c r="U3" s="13">
        <v>70</v>
      </c>
      <c r="V3" s="14">
        <v>46131</v>
      </c>
    </row>
    <row r="4" spans="1:22" ht="15.6" x14ac:dyDescent="0.3">
      <c r="A4" s="8">
        <v>3</v>
      </c>
      <c r="B4" s="8" t="s">
        <v>29</v>
      </c>
      <c r="C4" s="9">
        <v>5672</v>
      </c>
      <c r="D4" s="10">
        <v>112233</v>
      </c>
      <c r="E4" s="10" t="s">
        <v>25</v>
      </c>
      <c r="F4" s="10" t="s">
        <v>27</v>
      </c>
      <c r="G4" s="11">
        <v>36161</v>
      </c>
      <c r="H4" s="9">
        <v>44</v>
      </c>
      <c r="I4" s="12">
        <v>90000</v>
      </c>
      <c r="J4" s="12">
        <f t="shared" si="0"/>
        <v>440</v>
      </c>
      <c r="K4" s="8">
        <v>0</v>
      </c>
      <c r="L4" s="12">
        <v>0</v>
      </c>
      <c r="M4" s="12">
        <f t="shared" si="1"/>
        <v>90440</v>
      </c>
      <c r="N4" s="8"/>
      <c r="O4" s="8">
        <v>0</v>
      </c>
      <c r="P4" s="12">
        <f t="shared" si="2"/>
        <v>90440</v>
      </c>
      <c r="Q4" s="8"/>
      <c r="R4" s="8"/>
      <c r="S4" s="8" t="s">
        <v>33</v>
      </c>
      <c r="T4" s="8" t="s">
        <v>34</v>
      </c>
      <c r="U4" s="13">
        <v>70</v>
      </c>
      <c r="V4" s="14">
        <v>46131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תבורי - הקרן לרווחת החבר</dc:creator>
  <cp:lastModifiedBy>Adi &amp; Asaf Hadad</cp:lastModifiedBy>
  <dcterms:created xsi:type="dcterms:W3CDTF">2026-06-24T08:18:04Z</dcterms:created>
  <dcterms:modified xsi:type="dcterms:W3CDTF">2026-06-27T20:50:41Z</dcterms:modified>
</cp:coreProperties>
</file>